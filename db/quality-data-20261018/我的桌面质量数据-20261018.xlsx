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概览" sheetId="1" state="visible" r:id="rId1"/>
    <sheet xmlns:r="http://schemas.openxmlformats.org/officeDocument/2006/relationships" name="检验结果分布" sheetId="2" state="visible" r:id="rId2"/>
    <sheet xmlns:r="http://schemas.openxmlformats.org/officeDocument/2006/relationships" name="送检合格趋势" sheetId="3" state="visible" r:id="rId3"/>
    <sheet xmlns:r="http://schemas.openxmlformats.org/officeDocument/2006/relationships" name="不合格物料TOP" sheetId="4" state="visible" r:id="rId4"/>
    <sheet xmlns:r="http://schemas.openxmlformats.org/officeDocument/2006/relationships" name="数据说明" sheetId="5" state="visible" r:id="rId5"/>
  </sheets>
  <definedNames>
    <definedName name="_xlnm._FilterDatabase" localSheetId="0" hidden="1">'质量概览'!$A$1:$C$7</definedName>
    <definedName name="_xlnm._FilterDatabase" localSheetId="1" hidden="1">'检验结果分布'!$A$1:$B$3</definedName>
    <definedName name="_xlnm._FilterDatabase" localSheetId="2" hidden="1">'送检合格趋势'!$A$1:$D$31</definedName>
    <definedName name="_xlnm._FilterDatabase" localSheetId="3" hidden="1">'不合格物料TOP'!$A$1:$C$8</definedName>
    <definedName name="_xlnm._FilterDatabase" localSheetId="4" hidden="1">'数据说明'!$A$1:$B$8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口径</t>
        </is>
      </c>
    </row>
    <row r="2">
      <c r="A2" s="2" t="inlineStr">
        <is>
          <t>送检数量</t>
        </is>
      </c>
      <c r="B2" s="3" t="n">
        <v>758500</v>
      </c>
      <c r="C2" t="inlineStr">
        <is>
          <t>区间内所有检验单的送检数量合计</t>
        </is>
      </c>
    </row>
    <row r="3">
      <c r="A3" s="2" t="inlineStr">
        <is>
          <t>合格数量</t>
        </is>
      </c>
      <c r="B3" s="3" t="n">
        <v>732165</v>
      </c>
      <c r="C3" t="inlineStr">
        <is>
          <t>区间内所有检验单的合格数量合计</t>
        </is>
      </c>
    </row>
    <row r="4">
      <c r="A4" s="2" t="inlineStr">
        <is>
          <t>非合格数量</t>
        </is>
      </c>
      <c r="B4" s="3" t="n">
        <v>26335</v>
      </c>
      <c r="C4" t="inlineStr">
        <is>
          <t>区间内所有检验单的不合格数量合计(注:不等于 送检−合格)</t>
        </is>
      </c>
    </row>
    <row r="5">
      <c r="A5" s="2" t="inlineStr">
        <is>
          <t>合格率(%)</t>
        </is>
      </c>
      <c r="B5" s="3" t="n">
        <v>97</v>
      </c>
      <c r="C5" t="inlineStr">
        <is>
          <t>合格数量 / 送检数量</t>
        </is>
      </c>
    </row>
    <row r="6">
      <c r="A6" s="2" t="inlineStr">
        <is>
          <t>数据区间</t>
        </is>
      </c>
      <c r="B6" s="3" t="inlineStr">
        <is>
          <t>2026-09-19 ~ 2026-10-18</t>
        </is>
      </c>
      <c r="C6" t="inlineStr">
        <is>
          <t>与「我的桌面」默认区间一致(近 30 天)</t>
        </is>
      </c>
    </row>
    <row r="7">
      <c r="A7" s="2" t="inlineStr">
        <is>
          <t>统计粒度</t>
        </is>
      </c>
      <c r="B7" s="3" t="inlineStr">
        <is>
          <t>day</t>
        </is>
      </c>
      <c r="C7" t="inlineStr">
        <is>
          <t>day=按天 / week / month,随区间长度自动切换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结果</t>
        </is>
      </c>
      <c r="B1" s="1" t="inlineStr">
        <is>
          <t>数量</t>
        </is>
      </c>
    </row>
    <row r="2">
      <c r="A2" t="inlineStr">
        <is>
          <t>合格</t>
        </is>
      </c>
      <c r="B2" t="n">
        <v>732165</v>
      </c>
    </row>
    <row r="3">
      <c r="A3" t="inlineStr">
        <is>
          <t>不合格</t>
        </is>
      </c>
      <c r="B3" t="n">
        <v>26335</v>
      </c>
    </row>
  </sheetData>
  <autoFilter ref="A1:B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10" customWidth="1" min="5" max="5"/>
  </cols>
  <sheetData>
    <row r="1">
      <c r="A1" s="1" t="inlineStr">
        <is>
          <t>日期</t>
        </is>
      </c>
      <c r="B1" s="1" t="inlineStr">
        <is>
          <t>送检</t>
        </is>
      </c>
      <c r="C1" s="1" t="inlineStr">
        <is>
          <t>合格</t>
        </is>
      </c>
      <c r="D1" s="1" t="inlineStr">
        <is>
          <t>差额(合格−送检)</t>
        </is>
      </c>
      <c r="E1" s="4" t="inlineStr">
        <is>
          <t>合格率</t>
        </is>
      </c>
    </row>
    <row r="2">
      <c r="A2" t="inlineStr">
        <is>
          <t>9/19</t>
        </is>
      </c>
      <c r="B2" t="n">
        <v>1500</v>
      </c>
      <c r="C2" t="n">
        <v>1500</v>
      </c>
      <c r="D2" t="n">
        <v>0</v>
      </c>
      <c r="E2" s="5">
        <f>IFERROR(C2/B2,"")</f>
        <v/>
      </c>
    </row>
    <row r="3">
      <c r="A3" t="inlineStr">
        <is>
          <t>9/20</t>
        </is>
      </c>
      <c r="B3" t="n">
        <v>0</v>
      </c>
      <c r="C3" t="n">
        <v>0</v>
      </c>
      <c r="D3" t="n">
        <v>0</v>
      </c>
      <c r="E3" s="5">
        <f>IFERROR(C3/B3,"")</f>
        <v/>
      </c>
    </row>
    <row r="4">
      <c r="A4" t="inlineStr">
        <is>
          <t>9/21</t>
        </is>
      </c>
      <c r="B4" t="n">
        <v>18700</v>
      </c>
      <c r="C4" t="n">
        <v>18413</v>
      </c>
      <c r="D4" t="n">
        <v>-287</v>
      </c>
      <c r="E4" s="5">
        <f>IFERROR(C4/B4,"")</f>
        <v/>
      </c>
    </row>
    <row r="5">
      <c r="A5" t="inlineStr">
        <is>
          <t>9/22</t>
        </is>
      </c>
      <c r="B5" t="n">
        <v>32400</v>
      </c>
      <c r="C5" t="n">
        <v>28134</v>
      </c>
      <c r="D5" t="n">
        <v>-4266</v>
      </c>
      <c r="E5" s="5">
        <f>IFERROR(C5/B5,"")</f>
        <v/>
      </c>
    </row>
    <row r="6">
      <c r="A6" t="inlineStr">
        <is>
          <t>9/23</t>
        </is>
      </c>
      <c r="B6" t="n">
        <v>25100</v>
      </c>
      <c r="C6" t="n">
        <v>24641</v>
      </c>
      <c r="D6" t="n">
        <v>-459</v>
      </c>
      <c r="E6" s="5">
        <f>IFERROR(C6/B6,"")</f>
        <v/>
      </c>
    </row>
    <row r="7">
      <c r="A7" t="inlineStr">
        <is>
          <t>9/24</t>
        </is>
      </c>
      <c r="B7" t="n">
        <v>35300</v>
      </c>
      <c r="C7" t="n">
        <v>30859</v>
      </c>
      <c r="D7" t="n">
        <v>-4441</v>
      </c>
      <c r="E7" s="5">
        <f>IFERROR(C7/B7,"")</f>
        <v/>
      </c>
    </row>
    <row r="8">
      <c r="A8" t="inlineStr">
        <is>
          <t>9/25</t>
        </is>
      </c>
      <c r="B8" t="n">
        <v>27500</v>
      </c>
      <c r="C8" t="n">
        <v>27500</v>
      </c>
      <c r="D8" t="n">
        <v>0</v>
      </c>
      <c r="E8" s="5">
        <f>IFERROR(C8/B8,"")</f>
        <v/>
      </c>
    </row>
    <row r="9">
      <c r="A9" t="inlineStr">
        <is>
          <t>9/26</t>
        </is>
      </c>
      <c r="B9" t="n">
        <v>18700</v>
      </c>
      <c r="C9" t="n">
        <v>18700</v>
      </c>
      <c r="D9" t="n">
        <v>0</v>
      </c>
      <c r="E9" s="5">
        <f>IFERROR(C9/B9,"")</f>
        <v/>
      </c>
    </row>
    <row r="10">
      <c r="A10" t="inlineStr">
        <is>
          <t>9/27</t>
        </is>
      </c>
      <c r="B10" t="n">
        <v>26200</v>
      </c>
      <c r="C10" t="n">
        <v>26108</v>
      </c>
      <c r="D10" t="n">
        <v>-92</v>
      </c>
      <c r="E10" s="5">
        <f>IFERROR(C10/B10,"")</f>
        <v/>
      </c>
    </row>
    <row r="11">
      <c r="A11" t="inlineStr">
        <is>
          <t>9/28</t>
        </is>
      </c>
      <c r="B11" t="n">
        <v>38900</v>
      </c>
      <c r="C11" t="n">
        <v>38900</v>
      </c>
      <c r="D11" t="n">
        <v>0</v>
      </c>
      <c r="E11" s="5">
        <f>IFERROR(C11/B11,"")</f>
        <v/>
      </c>
    </row>
    <row r="12">
      <c r="A12" t="inlineStr">
        <is>
          <t>9/29</t>
        </is>
      </c>
      <c r="B12" t="n">
        <v>24400</v>
      </c>
      <c r="C12" t="n">
        <v>22869</v>
      </c>
      <c r="D12" t="n">
        <v>-1531</v>
      </c>
      <c r="E12" s="5">
        <f>IFERROR(C12/B12,"")</f>
        <v/>
      </c>
    </row>
    <row r="13">
      <c r="A13" t="inlineStr">
        <is>
          <t>9/30</t>
        </is>
      </c>
      <c r="B13" t="n">
        <v>10700</v>
      </c>
      <c r="C13" t="n">
        <v>10700</v>
      </c>
      <c r="D13" t="n">
        <v>0</v>
      </c>
      <c r="E13" s="5">
        <f>IFERROR(C13/B13,"")</f>
        <v/>
      </c>
    </row>
    <row r="14">
      <c r="A14" t="inlineStr">
        <is>
          <t>10/1</t>
        </is>
      </c>
      <c r="B14" t="n">
        <v>55500</v>
      </c>
      <c r="C14" t="n">
        <v>54543</v>
      </c>
      <c r="D14" t="n">
        <v>-957</v>
      </c>
      <c r="E14" s="5">
        <f>IFERROR(C14/B14,"")</f>
        <v/>
      </c>
    </row>
    <row r="15">
      <c r="A15" t="inlineStr">
        <is>
          <t>10/2</t>
        </is>
      </c>
      <c r="B15" t="n">
        <v>11300</v>
      </c>
      <c r="C15" t="n">
        <v>11096</v>
      </c>
      <c r="D15" t="n">
        <v>-204</v>
      </c>
      <c r="E15" s="5">
        <f>IFERROR(C15/B15,"")</f>
        <v/>
      </c>
    </row>
    <row r="16">
      <c r="A16" t="inlineStr">
        <is>
          <t>10/3</t>
        </is>
      </c>
      <c r="B16" t="n">
        <v>36000</v>
      </c>
      <c r="C16" t="n">
        <v>36000</v>
      </c>
      <c r="D16" t="n">
        <v>0</v>
      </c>
      <c r="E16" s="5">
        <f>IFERROR(C16/B16,"")</f>
        <v/>
      </c>
    </row>
    <row r="17">
      <c r="A17" t="inlineStr">
        <is>
          <t>10/4</t>
        </is>
      </c>
      <c r="B17" t="n">
        <v>29100</v>
      </c>
      <c r="C17" t="n">
        <v>28909</v>
      </c>
      <c r="D17" t="n">
        <v>-191</v>
      </c>
      <c r="E17" s="5">
        <f>IFERROR(C17/B17,"")</f>
        <v/>
      </c>
    </row>
    <row r="18">
      <c r="A18" t="inlineStr">
        <is>
          <t>10/5</t>
        </is>
      </c>
      <c r="B18" t="n">
        <v>34300</v>
      </c>
      <c r="C18" t="n">
        <v>29195</v>
      </c>
      <c r="D18" t="n">
        <v>-5105</v>
      </c>
      <c r="E18" s="5">
        <f>IFERROR(C18/B18,"")</f>
        <v/>
      </c>
    </row>
    <row r="19">
      <c r="A19" t="inlineStr">
        <is>
          <t>10/6</t>
        </is>
      </c>
      <c r="B19" t="n">
        <v>23200</v>
      </c>
      <c r="C19" t="n">
        <v>22996</v>
      </c>
      <c r="D19" t="n">
        <v>-204</v>
      </c>
      <c r="E19" s="5">
        <f>IFERROR(C19/B19,"")</f>
        <v/>
      </c>
    </row>
    <row r="20">
      <c r="A20" t="inlineStr">
        <is>
          <t>10/7</t>
        </is>
      </c>
      <c r="B20" t="n">
        <v>30700</v>
      </c>
      <c r="C20" t="n">
        <v>30034</v>
      </c>
      <c r="D20" t="n">
        <v>-666</v>
      </c>
      <c r="E20" s="5">
        <f>IFERROR(C20/B20,"")</f>
        <v/>
      </c>
    </row>
    <row r="21">
      <c r="A21" t="inlineStr">
        <is>
          <t>10/8</t>
        </is>
      </c>
      <c r="B21" t="n">
        <v>17900</v>
      </c>
      <c r="C21" t="n">
        <v>17900</v>
      </c>
      <c r="D21" t="n">
        <v>0</v>
      </c>
      <c r="E21" s="5">
        <f>IFERROR(C21/B21,"")</f>
        <v/>
      </c>
    </row>
    <row r="22">
      <c r="A22" t="inlineStr">
        <is>
          <t>10/9</t>
        </is>
      </c>
      <c r="B22" t="n">
        <v>31700</v>
      </c>
      <c r="C22" t="n">
        <v>30934</v>
      </c>
      <c r="D22" t="n">
        <v>-766</v>
      </c>
      <c r="E22" s="5">
        <f>IFERROR(C22/B22,"")</f>
        <v/>
      </c>
    </row>
    <row r="23">
      <c r="A23" t="inlineStr">
        <is>
          <t>10/10</t>
        </is>
      </c>
      <c r="B23" t="n">
        <v>57800</v>
      </c>
      <c r="C23" t="n">
        <v>55248</v>
      </c>
      <c r="D23" t="n">
        <v>-2552</v>
      </c>
      <c r="E23" s="5">
        <f>IFERROR(C23/B23,"")</f>
        <v/>
      </c>
    </row>
    <row r="24">
      <c r="A24" t="inlineStr">
        <is>
          <t>10/11</t>
        </is>
      </c>
      <c r="B24" t="n">
        <v>17700</v>
      </c>
      <c r="C24" t="n">
        <v>17700</v>
      </c>
      <c r="D24" t="n">
        <v>0</v>
      </c>
      <c r="E24" s="5">
        <f>IFERROR(C24/B24,"")</f>
        <v/>
      </c>
    </row>
    <row r="25">
      <c r="A25" t="inlineStr">
        <is>
          <t>10/12</t>
        </is>
      </c>
      <c r="B25" t="n">
        <v>30000</v>
      </c>
      <c r="C25" t="n">
        <v>26937</v>
      </c>
      <c r="D25" t="n">
        <v>-3063</v>
      </c>
      <c r="E25" s="5">
        <f>IFERROR(C25/B25,"")</f>
        <v/>
      </c>
    </row>
    <row r="26">
      <c r="A26" t="inlineStr">
        <is>
          <t>10/13</t>
        </is>
      </c>
      <c r="B26" t="n">
        <v>64900</v>
      </c>
      <c r="C26" t="n">
        <v>64071</v>
      </c>
      <c r="D26" t="n">
        <v>-829</v>
      </c>
      <c r="E26" s="5">
        <f>IFERROR(C26/B26,"")</f>
        <v/>
      </c>
    </row>
    <row r="27">
      <c r="A27" t="inlineStr">
        <is>
          <t>10/14</t>
        </is>
      </c>
      <c r="B27" t="n">
        <v>16500</v>
      </c>
      <c r="C27" t="n">
        <v>16225</v>
      </c>
      <c r="D27" t="n">
        <v>-275</v>
      </c>
      <c r="E27" s="5">
        <f>IFERROR(C27/B27,"")</f>
        <v/>
      </c>
    </row>
    <row r="28">
      <c r="A28" t="inlineStr">
        <is>
          <t>10/15</t>
        </is>
      </c>
      <c r="B28" t="n">
        <v>42500</v>
      </c>
      <c r="C28" t="n">
        <v>42053</v>
      </c>
      <c r="D28" t="n">
        <v>-447</v>
      </c>
      <c r="E28" s="5">
        <f>IFERROR(C28/B28,"")</f>
        <v/>
      </c>
    </row>
    <row r="29">
      <c r="A29" t="inlineStr">
        <is>
          <t>10/16</t>
        </is>
      </c>
      <c r="B29" t="n">
        <v>0</v>
      </c>
      <c r="C29" t="n">
        <v>0</v>
      </c>
      <c r="D29" t="n">
        <v>0</v>
      </c>
      <c r="E29" s="5">
        <f>IFERROR(C29/B29,"")</f>
        <v/>
      </c>
    </row>
    <row r="30">
      <c r="A30" t="inlineStr">
        <is>
          <t>10/17</t>
        </is>
      </c>
      <c r="B30" t="n">
        <v>0</v>
      </c>
      <c r="C30" t="n">
        <v>0</v>
      </c>
      <c r="D30" t="n">
        <v>0</v>
      </c>
      <c r="E30" s="5">
        <f>IFERROR(C30/B30,"")</f>
        <v/>
      </c>
    </row>
    <row r="31">
      <c r="A31" t="inlineStr">
        <is>
          <t>10/18</t>
        </is>
      </c>
      <c r="B31" t="n">
        <v>0</v>
      </c>
      <c r="C31" t="n">
        <v>0</v>
      </c>
      <c r="D31" t="n">
        <v>0</v>
      </c>
      <c r="E31" s="5">
        <f>IFERROR(C31/B31,"")</f>
        <v/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</cols>
  <sheetData>
    <row r="1">
      <c r="A1" s="1" t="inlineStr">
        <is>
          <t>序号</t>
        </is>
      </c>
      <c r="B1" s="1" t="inlineStr">
        <is>
          <t>物料/供应商名称</t>
        </is>
      </c>
      <c r="C1" s="1" t="inlineStr">
        <is>
          <t>不合格数量</t>
        </is>
      </c>
    </row>
    <row r="2">
      <c r="A2" t="n">
        <v>1</v>
      </c>
      <c r="B2" t="inlineStr">
        <is>
          <t>英克瑞斯酸洗炭</t>
        </is>
      </c>
      <c r="C2" t="n">
        <v>13055</v>
      </c>
    </row>
    <row r="3">
      <c r="A3" t="n">
        <v>2</v>
      </c>
      <c r="B3" t="inlineStr">
        <is>
          <t>雅可比CS（80-200）</t>
        </is>
      </c>
      <c r="C3" t="n">
        <v>6770</v>
      </c>
    </row>
    <row r="4">
      <c r="A4" t="n">
        <v>3</v>
      </c>
      <c r="B4" t="inlineStr">
        <is>
          <t>雅可比酸洗-HX（80-200）</t>
        </is>
      </c>
      <c r="C4" t="n">
        <v>2299</v>
      </c>
    </row>
    <row r="5">
      <c r="A5" t="n">
        <v>4</v>
      </c>
      <c r="B5" t="inlineStr">
        <is>
          <t>鑫恒（80-250）</t>
        </is>
      </c>
      <c r="C5" t="n">
        <v>1889</v>
      </c>
    </row>
    <row r="6">
      <c r="A6" t="n">
        <v>5</v>
      </c>
      <c r="B6" t="inlineStr">
        <is>
          <t>英克瑞斯酸洗（150-400）</t>
        </is>
      </c>
      <c r="C6" t="n">
        <v>938</v>
      </c>
    </row>
    <row r="7">
      <c r="A7" t="n">
        <v>6</v>
      </c>
      <c r="B7" t="inlineStr">
        <is>
          <t>普力迈U510B</t>
        </is>
      </c>
      <c r="C7" t="n">
        <v>714</v>
      </c>
    </row>
    <row r="8">
      <c r="A8" t="n">
        <v>7</v>
      </c>
      <c r="B8" t="inlineStr">
        <is>
          <t>英克瑞斯X5（60-250）</t>
        </is>
      </c>
      <c r="C8" t="n">
        <v>670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导出内容</t>
        </is>
      </c>
      <c r="B2" t="inlineStr">
        <is>
          <t>「我的桌面」→ 质量模块:质量概览 / 检验结果分布 / 送检合格趋势 / 不合格物料 TOP</t>
        </is>
      </c>
    </row>
    <row r="3">
      <c r="A3" t="inlineStr">
        <is>
          <t>数据源</t>
        </is>
      </c>
      <c r="B3" t="inlineStr">
        <is>
          <t>MES 后端 GET /api/dashboard/stats?from=2026-09-19&amp;to=2026-10-18 的 quality 段</t>
        </is>
      </c>
    </row>
    <row r="4">
      <c r="A4" t="inlineStr">
        <is>
          <t>与界面关系</t>
        </is>
      </c>
      <c r="B4" t="inlineStr">
        <is>
          <t>就是「我的桌面」质量卡、以及「质量」页签渲染的同一份数据,未另算一遍</t>
        </is>
      </c>
    </row>
    <row r="5">
      <c r="A5" t="inlineStr">
        <is>
          <t>导出时间</t>
        </is>
      </c>
      <c r="B5" t="inlineStr">
        <is>
          <t>2026-10-18 17:58:04</t>
        </is>
      </c>
    </row>
    <row r="6">
      <c r="A6" t="inlineStr">
        <is>
          <t>导出脚本</t>
        </is>
      </c>
      <c r="B6" t="inlineStr">
        <is>
          <t>tools/archive/_quality-export-20261018/_export-quality-xlsx.py</t>
        </is>
      </c>
    </row>
    <row r="7">
      <c r="A7" t="inlineStr">
        <is>
          <t>隐私</t>
        </is>
      </c>
      <c r="B7" t="inlineStr">
        <is>
          <t>本表**不含人员姓名/联系方式**,只有数量与物料/供应商名称(业务事实数据,按原样保留)</t>
        </is>
      </c>
    </row>
    <row r="8">
      <c r="A8" t="inlineStr">
        <is>
          <t>注意</t>
        </is>
      </c>
      <c r="B8" t="inlineStr">
        <is>
          <t>数值为导出时刻的快照;要看最新数据请直接开系统,不要以本表为准做决策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2026-10-18T09:58:04Z</dcterms:created>
  <dcterms:modified xmlns:dcterms="http://purl.org/dc/terms/" xmlns:xsi="http://www.w3.org/2001/XMLSchema-instance" xsi:type="dcterms:W3CDTF">2026-10-18T09:58:04Z</dcterms:modified>
</cp:coreProperties>
</file>